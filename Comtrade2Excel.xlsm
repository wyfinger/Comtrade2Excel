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EV\VBA\Comtrade2Excel\"/>
    </mc:Choice>
  </mc:AlternateContent>
  <bookViews>
    <workbookView xWindow="255" yWindow="90" windowWidth="24915" windowHeight="12330" tabRatio="722"/>
  </bookViews>
  <sheets>
    <sheet name="Осц.cfg" sheetId="11" r:id="rId1"/>
    <sheet name="Comtrade 2 Excel" sheetId="4" r:id="rId2"/>
    <sheet name="Signals to Comtrade" sheetId="5" r:id="rId3"/>
  </sheets>
  <functionGroups builtInGroupCount="18"/>
  <definedNames>
    <definedName name="_xlnm._FilterDatabase" localSheetId="2" hidden="1">'Signals to Comtrade'!$A$1:$D$1</definedName>
  </definedNames>
  <calcPr calcId="162913" calcMode="manual"/>
</workbook>
</file>

<file path=xl/calcChain.xml><?xml version="1.0" encoding="utf-8"?>
<calcChain xmlns="http://schemas.openxmlformats.org/spreadsheetml/2006/main">
  <c r="L23" i="5" l="1"/>
  <c r="L32" i="5"/>
  <c r="L3" i="5"/>
  <c r="L2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" i="5"/>
  <c r="K4" i="5"/>
  <c r="K2" i="5"/>
  <c r="L29" i="5"/>
  <c r="L24" i="5"/>
  <c r="L9" i="5"/>
  <c r="L5" i="5"/>
  <c r="L27" i="5"/>
  <c r="L16" i="5"/>
  <c r="L19" i="5"/>
  <c r="L8" i="5"/>
  <c r="L25" i="5"/>
  <c r="L11" i="5"/>
  <c r="L12" i="5"/>
  <c r="L26" i="5"/>
  <c r="L4" i="5"/>
  <c r="L31" i="5"/>
  <c r="L28" i="5"/>
  <c r="L13" i="5"/>
  <c r="L22" i="5"/>
  <c r="L7" i="5"/>
  <c r="L14" i="5"/>
  <c r="L15" i="5"/>
  <c r="L17" i="5"/>
  <c r="L21" i="5"/>
  <c r="L18" i="5"/>
  <c r="L10" i="5"/>
  <c r="L30" i="5"/>
  <c r="L20" i="5"/>
  <c r="L6" i="5"/>
</calcChain>
</file>

<file path=xl/sharedStrings.xml><?xml version="1.0" encoding="utf-8"?>
<sst xmlns="http://schemas.openxmlformats.org/spreadsheetml/2006/main" count="338" uniqueCount="230">
  <si>
    <t>Значение</t>
  </si>
  <si>
    <t>Наименование</t>
  </si>
  <si>
    <t>Время ГГГГ-ММ-ДД чч:мм:сс.000</t>
  </si>
  <si>
    <t>00301 Повреждение в энергосистеме</t>
  </si>
  <si>
    <t>00302 Аварийное событие</t>
  </si>
  <si>
    <t>02801 АПВ запущено</t>
  </si>
  <si>
    <t>02844 АПВ: действует 1-й цикл</t>
  </si>
  <si>
    <t>01461 УРОВ Пуск</t>
  </si>
  <si>
    <t>02840 АПВ бесток.пауза после выпол. 3ф откл</t>
  </si>
  <si>
    <t>02784 Выключатель не готов</t>
  </si>
  <si>
    <t>02716 &gt;Внешнее 3-ф откл.для внутреннего АПВ</t>
  </si>
  <si>
    <t>00536 Окончательное ОТКЛЮЧЕНИЕ</t>
  </si>
  <si>
    <t>ОFF</t>
  </si>
  <si>
    <t>Сюда вставить время из протокола событий</t>
  </si>
  <si>
    <t>Это дата?</t>
  </si>
  <si>
    <t>Дата и время для Comtrade</t>
  </si>
  <si>
    <t>2024-01-23 18:59:38.952</t>
  </si>
  <si>
    <t>4 ms</t>
  </si>
  <si>
    <t xml:space="preserve">ОN </t>
  </si>
  <si>
    <t>00379 &gt;ВЫКЛ Блок-контакт 3фазн.Включен</t>
  </si>
  <si>
    <t>00380 &gt;ВЫКЛ Блок-контакт 3фазн.Отключен</t>
  </si>
  <si>
    <t>Сигнал откл. В 110кВ от защит ВЛ</t>
  </si>
  <si>
    <t>Отключение от внешних устройств  РЗ</t>
  </si>
  <si>
    <t>01415 &gt;УРОВ: Внешний пуск 3 фаз</t>
  </si>
  <si>
    <t>Работа АПВ</t>
  </si>
  <si>
    <t xml:space="preserve">00301 Повреждение в энергосистеме  </t>
  </si>
  <si>
    <t>23.01.2024  18:59:38.909</t>
  </si>
  <si>
    <t>1 ms</t>
  </si>
  <si>
    <t>31 ms</t>
  </si>
  <si>
    <t>35 ms</t>
  </si>
  <si>
    <t>41 ms</t>
  </si>
  <si>
    <t>43 ms</t>
  </si>
  <si>
    <t>50 ms</t>
  </si>
  <si>
    <t>1542 ms</t>
  </si>
  <si>
    <t>1616 ms</t>
  </si>
  <si>
    <t>1630 ms</t>
  </si>
  <si>
    <t>1643 ms</t>
  </si>
  <si>
    <t>1693 ms</t>
  </si>
  <si>
    <t>1972 ms</t>
  </si>
  <si>
    <t>1980 ms</t>
  </si>
  <si>
    <t>23.01.2024  18:59:40.889</t>
  </si>
  <si>
    <t>1982 ms</t>
  </si>
  <si>
    <t>2006 ms</t>
  </si>
  <si>
    <t>2008 ms</t>
  </si>
  <si>
    <t>2015 ms</t>
  </si>
  <si>
    <t>2029 ms</t>
  </si>
  <si>
    <t>2030 ms</t>
  </si>
  <si>
    <t>23.01.2024  18:59:40.940</t>
  </si>
  <si>
    <t>2024-01-23 18:59:38.909</t>
  </si>
  <si>
    <t>2024-01-23 18:59:38.910</t>
  </si>
  <si>
    <t>2024-01-23 18:59:38.913</t>
  </si>
  <si>
    <t>2024-01-23 18:59:38.940</t>
  </si>
  <si>
    <t>2024-01-23 18:59:38.944</t>
  </si>
  <si>
    <t>2024-01-23 18:59:38.950</t>
  </si>
  <si>
    <t>2024-01-23 18:59:38.959</t>
  </si>
  <si>
    <t>2024-01-23 18:59:40.451</t>
  </si>
  <si>
    <t>2024-01-23 18:59:40.525</t>
  </si>
  <si>
    <t>2024-01-23 18:59:40.539</t>
  </si>
  <si>
    <t>2024-01-23 18:59:40.552</t>
  </si>
  <si>
    <t>2024-01-23 18:59:40.602</t>
  </si>
  <si>
    <t>2024-01-23 18:59:40.881</t>
  </si>
  <si>
    <t>2024-01-23 18:59:40.889</t>
  </si>
  <si>
    <t>2024-01-23 18:59:40.890</t>
  </si>
  <si>
    <t>2024-01-23 18:59:40.892</t>
  </si>
  <si>
    <t>2024-01-23 18:59:40.916</t>
  </si>
  <si>
    <t>2024-01-23 18:59:40.918</t>
  </si>
  <si>
    <t>2024-01-23 18:59:40.925</t>
  </si>
  <si>
    <t>2024-01-23 18:59:40.939</t>
  </si>
  <si>
    <t>2024-01-23 18:59:40.940</t>
  </si>
  <si>
    <t>Файл:</t>
  </si>
  <si>
    <t>C:\DEV\VBA\Comtrade2Excel\Осц.cfg</t>
  </si>
  <si>
    <t>Наименование:</t>
  </si>
  <si>
    <t>Volna1_1</t>
  </si>
  <si>
    <t>Номер:</t>
  </si>
  <si>
    <t>SignalNo</t>
  </si>
  <si>
    <t>SignalName</t>
  </si>
  <si>
    <t>SignalPhase</t>
  </si>
  <si>
    <t>Component</t>
  </si>
  <si>
    <t>Meas</t>
  </si>
  <si>
    <t>A</t>
  </si>
  <si>
    <t>B</t>
  </si>
  <si>
    <t>Skew</t>
  </si>
  <si>
    <t>Min</t>
  </si>
  <si>
    <t>Max</t>
  </si>
  <si>
    <t>Ia1</t>
  </si>
  <si>
    <t>ТТ1</t>
  </si>
  <si>
    <t>А</t>
  </si>
  <si>
    <t>Ib1</t>
  </si>
  <si>
    <t>Ic1</t>
  </si>
  <si>
    <t>C</t>
  </si>
  <si>
    <t>Ia2</t>
  </si>
  <si>
    <t>ТТ2</t>
  </si>
  <si>
    <t>Ib2</t>
  </si>
  <si>
    <t>Ic2</t>
  </si>
  <si>
    <t>Ia3</t>
  </si>
  <si>
    <t>ТТ3</t>
  </si>
  <si>
    <t>Ib3</t>
  </si>
  <si>
    <t>Ic3</t>
  </si>
  <si>
    <t>Ua1</t>
  </si>
  <si>
    <t>ТН1</t>
  </si>
  <si>
    <t>В</t>
  </si>
  <si>
    <t>Ub1</t>
  </si>
  <si>
    <t>Uc1</t>
  </si>
  <si>
    <t>Uкн1</t>
  </si>
  <si>
    <t>Uин1</t>
  </si>
  <si>
    <t>Ua2</t>
  </si>
  <si>
    <t>СШ2</t>
  </si>
  <si>
    <t>Ub2</t>
  </si>
  <si>
    <t>Uc2</t>
  </si>
  <si>
    <t>Uкн2</t>
  </si>
  <si>
    <t>Uин2</t>
  </si>
  <si>
    <t>АЧР.N1</t>
  </si>
  <si>
    <t>NONE</t>
  </si>
  <si>
    <t>АЧР.N2</t>
  </si>
  <si>
    <t>АЧР.ft</t>
  </si>
  <si>
    <t>АЧР.fh</t>
  </si>
  <si>
    <t>АЧР.dfdt</t>
  </si>
  <si>
    <t>АЧР.U</t>
  </si>
  <si>
    <t>d2(РПО А Влад)</t>
  </si>
  <si>
    <t>d3(РПВ А Влад)</t>
  </si>
  <si>
    <t>d4(рем.А Влад)</t>
  </si>
  <si>
    <t>d6(рем.В1 Влад)</t>
  </si>
  <si>
    <t>d7(рем.В2 Влад)</t>
  </si>
  <si>
    <t>d8(РПО В Влад)</t>
  </si>
  <si>
    <t>d9(РПВ В Влад)</t>
  </si>
  <si>
    <t>d10(рем.С Зел Угол)</t>
  </si>
  <si>
    <t>d12(рем.Д1 Зел Угол)</t>
  </si>
  <si>
    <t>d13(рем.Д2 Зел Угол)</t>
  </si>
  <si>
    <t>d14(РПО С Зел Угол)</t>
  </si>
  <si>
    <t>d15(РПВ С Зел Угол)</t>
  </si>
  <si>
    <t>d20(РПО Д Зел Угол)</t>
  </si>
  <si>
    <t>d21(РПВ Д Зел Угол)</t>
  </si>
  <si>
    <t>d22(ДАЧР-2)</t>
  </si>
  <si>
    <t>d23(ДАЧР-1)</t>
  </si>
  <si>
    <t>d27(РБМ А Влад)</t>
  </si>
  <si>
    <t>d28</t>
  </si>
  <si>
    <t>d29(РБМ С Зел Угол)</t>
  </si>
  <si>
    <t>d30(РБМ Д Зел Угол)</t>
  </si>
  <si>
    <t>d31(РБМ В Влад)</t>
  </si>
  <si>
    <t>d33 (АРЛ2)</t>
  </si>
  <si>
    <t>d37(САОН5)</t>
  </si>
  <si>
    <t>d38(САОН4)</t>
  </si>
  <si>
    <t>d42(САОН3)</t>
  </si>
  <si>
    <t>d43(САОН2)</t>
  </si>
  <si>
    <t>d44(САОН1)</t>
  </si>
  <si>
    <t>d45(вкл.нагр)</t>
  </si>
  <si>
    <t>d59(SA14)</t>
  </si>
  <si>
    <t>d60(SA15)</t>
  </si>
  <si>
    <t>d63(SA18)</t>
  </si>
  <si>
    <t>d64(SA19)</t>
  </si>
  <si>
    <t>d65(SA20)</t>
  </si>
  <si>
    <t>d66(SA21)</t>
  </si>
  <si>
    <t>d67(SA22)</t>
  </si>
  <si>
    <t>d69(SA24)</t>
  </si>
  <si>
    <t>d70(SA25)</t>
  </si>
  <si>
    <t>d71(SA26)</t>
  </si>
  <si>
    <t>ИЛИ.Out1</t>
  </si>
  <si>
    <t>ИЛИ.Out2</t>
  </si>
  <si>
    <t>ИЛИ.Out3</t>
  </si>
  <si>
    <t>ИЛИ.Out4</t>
  </si>
  <si>
    <t>КЦН ТН3.Alarm_U</t>
  </si>
  <si>
    <t>КЦН ТН4.Alarm_U</t>
  </si>
  <si>
    <t>НФР Владивосток.NepFa</t>
  </si>
  <si>
    <t>НФР Зел Угол.NepFa</t>
  </si>
  <si>
    <t>НФР Чайка.NepFa</t>
  </si>
  <si>
    <t>ИЛИ.Out5</t>
  </si>
  <si>
    <t>ФОЛ  Владивосток.FOL_Y</t>
  </si>
  <si>
    <t>ФОЛ  Владивосток.Alarm</t>
  </si>
  <si>
    <t>ФОЛ  Владивосток.Alarm2</t>
  </si>
  <si>
    <t>ФОЛ  Владивосток.Y_off</t>
  </si>
  <si>
    <t>ФОЛ  Владивосток.Y_napv</t>
  </si>
  <si>
    <t>ФОЛ  Владивосток.Y_bapv</t>
  </si>
  <si>
    <t>ФОЛ  Владивосток.F_APV</t>
  </si>
  <si>
    <t>ФОЛ  Владивосток.Y_a</t>
  </si>
  <si>
    <t>ФОЛ  Владивосток.Y_rem</t>
  </si>
  <si>
    <t>ФОЛ  Владивосток.N_rem</t>
  </si>
  <si>
    <t>ФОЛ  Владивосток.Y_rem1</t>
  </si>
  <si>
    <t>ФОЛ  Владивосток.N_rem1</t>
  </si>
  <si>
    <t>ФОЛ  Владивосток.Y_on</t>
  </si>
  <si>
    <t>ФОЛ  Владивосток.UOFF</t>
  </si>
  <si>
    <t>ФОЛ  Владивосток.sw1</t>
  </si>
  <si>
    <t>ФОЛ  Владивосток.sw2</t>
  </si>
  <si>
    <t>ФОЛ Зел Угол.Alarm</t>
  </si>
  <si>
    <t>ФОЛ Зел Угол.Y_napv</t>
  </si>
  <si>
    <t>ФОЛ Зел Угол.FOL_Y</t>
  </si>
  <si>
    <t>ФОЛ Зел Угол.Alarm2</t>
  </si>
  <si>
    <t>ФОЛ Зел Угол.Y_off</t>
  </si>
  <si>
    <t>ФОЛ Зел Угол.Y_bapv</t>
  </si>
  <si>
    <t>ФОЛ Зел Угол.F_APV</t>
  </si>
  <si>
    <t>ФОЛ Зел Угол.Y_a</t>
  </si>
  <si>
    <t>ФОЛ Зел Угол.Y_rem</t>
  </si>
  <si>
    <t>ФОЛ Зел Угол.N_rem</t>
  </si>
  <si>
    <t>ФОЛ Зел Угол.Y_rem1</t>
  </si>
  <si>
    <t>ФОЛ Зел Угол.N_rem1</t>
  </si>
  <si>
    <t>ФОЛ Зел Угол.Y_on</t>
  </si>
  <si>
    <t>ФОЛ Зел Угол.UOFF</t>
  </si>
  <si>
    <t>ФОЛ Зел Угол.sw1</t>
  </si>
  <si>
    <t>ФОЛ Зел Угол.sw2</t>
  </si>
  <si>
    <t>САОН.Y</t>
  </si>
  <si>
    <t>АЧР.D</t>
  </si>
  <si>
    <t>АЧР.SA1</t>
  </si>
  <si>
    <t>АЧР.SA2</t>
  </si>
  <si>
    <t>АЧР.NU</t>
  </si>
  <si>
    <t>АЧР.APV</t>
  </si>
  <si>
    <t>АЧР.Y</t>
  </si>
  <si>
    <t>АЧР.A</t>
  </si>
  <si>
    <t>Шинки ОН.A</t>
  </si>
  <si>
    <t>Шинки ОН.Off_1</t>
  </si>
  <si>
    <t>Шинки ОН.Off_2</t>
  </si>
  <si>
    <t>Шинки ОН.Off_3</t>
  </si>
  <si>
    <t>Шинки ОН.Off_4</t>
  </si>
  <si>
    <t>Шинки ОН.Off_5</t>
  </si>
  <si>
    <t>Шинки ОН.V</t>
  </si>
  <si>
    <t>КЦН ТН3.Off_U</t>
  </si>
  <si>
    <t>КЦН ТН3.Lock_U</t>
  </si>
  <si>
    <t>КЦН ТН4.Off_U</t>
  </si>
  <si>
    <t>КЦН ТН4.Lock_U</t>
  </si>
  <si>
    <t>САОН.OH_1</t>
  </si>
  <si>
    <t>САОН.OH_2</t>
  </si>
  <si>
    <t>САОН.OH_3</t>
  </si>
  <si>
    <t>САОН.OH_4</t>
  </si>
  <si>
    <t>САОН.OH_5</t>
  </si>
  <si>
    <t>Частота:</t>
  </si>
  <si>
    <t>Дискретизация:</t>
  </si>
  <si>
    <t>Отсчетов:</t>
  </si>
  <si>
    <t>Дата/Время старта:</t>
  </si>
  <si>
    <t>31/12/2023</t>
  </si>
  <si>
    <t>21:17:09.973000</t>
  </si>
  <si>
    <t>Дата/Время пуска:</t>
  </si>
  <si>
    <t>21:17:14.974000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</si>
</sst>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hh/mm:ss.000"/>
  </numFmts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2" borderId="0" xfId="0" applyFill="1"/>
    <xf numFmtId="0" fontId="0" fillId="0" borderId="0" xfId="0" applyNumberFormat="1"/>
    <xf numFmtId="0" fontId="0" fillId="0" borderId="0" xfId="0" quotePrefix="1"/>
    <xf numFmtId="165" fontId="0" fillId="0" borderId="0" xfId="0" applyNumberFormat="1"/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447675</xdr:colOff>
      <xdr:row>11</xdr:row>
      <xdr:rowOff>114300</xdr:rowOff>
    </xdr:to>
    <xdr:sp macro="" textlink="">
      <xdr:nvSpPr>
        <xdr:cNvPr id="2" name="TextBox 1"/>
        <xdr:cNvSpPr txBox="1"/>
      </xdr:nvSpPr>
      <xdr:spPr>
        <a:xfrm>
          <a:off x="0" y="0"/>
          <a:ext cx="4105275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Набор</a:t>
          </a:r>
          <a:r>
            <a:rPr lang="ru-RU" sz="1100" baseline="0"/>
            <a:t> макросов для конвертирования </a:t>
          </a:r>
          <a:r>
            <a:rPr lang="en-US" sz="1100" baseline="0"/>
            <a:t>COMTRADE</a:t>
          </a:r>
          <a:r>
            <a:rPr lang="ru-RU" sz="1100" baseline="0"/>
            <a:t> файлов</a:t>
          </a:r>
        </a:p>
        <a:p>
          <a:r>
            <a:rPr lang="ru-RU" sz="1100" baseline="0"/>
            <a:t>в лист </a:t>
          </a:r>
          <a:r>
            <a:rPr lang="en-US" sz="1100" baseline="0"/>
            <a:t>Excel</a:t>
          </a:r>
          <a:r>
            <a:rPr lang="ru-RU" sz="1100" baseline="0"/>
            <a:t>, поддерживает </a:t>
          </a:r>
          <a:r>
            <a:rPr lang="en-US" sz="1100" baseline="0"/>
            <a:t>ASCII </a:t>
          </a:r>
          <a:r>
            <a:rPr lang="ru-RU" sz="1100" baseline="0"/>
            <a:t>и </a:t>
          </a:r>
          <a:r>
            <a:rPr lang="en-US" sz="1100" baseline="0"/>
            <a:t>BINARY</a:t>
          </a:r>
          <a:r>
            <a:rPr lang="ru-RU" sz="1100" baseline="0"/>
            <a:t> форматы.</a:t>
          </a:r>
        </a:p>
        <a:p>
          <a:r>
            <a:rPr lang="ru-RU" sz="1100" baseline="0"/>
            <a:t>Позволяет редактировать, объединять осциллограммы и</a:t>
          </a:r>
        </a:p>
        <a:p>
          <a:r>
            <a:rPr lang="ru-RU" sz="1100" baseline="0"/>
            <a:t>сохранять результат в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COMTRADE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ASCII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 макросы: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Comtrade2Excel()</a:t>
          </a:r>
          <a:r>
            <a:rPr lang="ru-RU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Excel2Comtrade()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/>
            <a:t>https://github.com/wyfinger/Comtrade2Excel</a:t>
          </a:r>
        </a:p>
        <a:p>
          <a:r>
            <a:rPr lang="ru-RU" sz="1100"/>
            <a:t>Игорь Матвеев, </a:t>
          </a:r>
          <a:r>
            <a:rPr lang="en-US" sz="1100"/>
            <a:t>miv@prim.so-ups.ru</a:t>
          </a:r>
        </a:p>
        <a:p>
          <a:r>
            <a:rPr lang="en-US" sz="1100"/>
            <a:t>2014-2024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742390</xdr:colOff>
      <xdr:row>2</xdr:row>
      <xdr:rowOff>75330</xdr:rowOff>
    </xdr:from>
    <xdr:to>
      <xdr:col>15</xdr:col>
      <xdr:colOff>201957</xdr:colOff>
      <xdr:row>13</xdr:row>
      <xdr:rowOff>189630</xdr:rowOff>
    </xdr:to>
    <xdr:sp macro="" textlink="">
      <xdr:nvSpPr>
        <xdr:cNvPr id="4" name="TextBox 3"/>
        <xdr:cNvSpPr txBox="1"/>
      </xdr:nvSpPr>
      <xdr:spPr>
        <a:xfrm>
          <a:off x="11466419" y="456330"/>
          <a:ext cx="5017685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Преобразование потока событий  (дискретов) в осциллограмму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Столбцы: Время, занчение, наименование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 макросы: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Discrete2Comtrade()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/>
            <a:t>https://github.com/wyfinger/Comtrade2Excel</a:t>
          </a:r>
        </a:p>
        <a:p>
          <a:r>
            <a:rPr lang="ru-RU" sz="1100"/>
            <a:t>Игорь Матвеев, </a:t>
          </a:r>
          <a:r>
            <a:rPr lang="en-US" sz="1100"/>
            <a:t>miv@prim.so-ups.ru</a:t>
          </a:r>
        </a:p>
        <a:p>
          <a:r>
            <a:rPr lang="en-US" sz="1100"/>
            <a:t>20</a:t>
          </a:r>
          <a:r>
            <a:rPr lang="ru-RU" sz="1100"/>
            <a:t>22</a:t>
          </a:r>
          <a:r>
            <a:rPr lang="en-US" sz="1100"/>
            <a:t>-2024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B19"/>
  <sheetViews>
    <sheetView tabSelected="1" workbookViewId="0"/>
  </sheetViews>
  <sheetFormatPr defaultRowHeight="15" x14ac:dyDescent="0.25"/>
  <sheetData>
    <row r="1" spans="1:132" x14ac:dyDescent="0.25">
      <c r="A1" t="s">
        <v>69</v>
      </c>
      <c r="B1" t="s">
        <v>70</v>
      </c>
    </row>
    <row r="2" spans="1:132" x14ac:dyDescent="0.25">
      <c r="A2" t="s">
        <v>71</v>
      </c>
      <c r="B2" t="s">
        <v>72</v>
      </c>
    </row>
    <row r="3" spans="1:132" x14ac:dyDescent="0.25">
      <c r="A3" t="s">
        <v>73</v>
      </c>
      <c r="B3">
        <v>1</v>
      </c>
    </row>
    <row r="4" spans="1:132" x14ac:dyDescent="0.25">
      <c r="A4" t="s">
        <v>222</v>
      </c>
      <c r="B4">
        <v>50</v>
      </c>
    </row>
    <row r="5" spans="1:132" x14ac:dyDescent="0.25">
      <c r="A5" t="s">
        <v>223</v>
      </c>
      <c r="B5">
        <v>2000</v>
      </c>
    </row>
    <row r="6" spans="1:132" x14ac:dyDescent="0.25">
      <c r="A6" t="s">
        <v>224</v>
      </c>
      <c r="C6">
        <v>23999</v>
      </c>
    </row>
    <row r="7" spans="1:132" x14ac:dyDescent="0.25">
      <c r="A7" t="s">
        <v>225</v>
      </c>
      <c r="B7" s="2" t="s">
        <v>226</v>
      </c>
      <c r="C7" s="2" t="s">
        <v>227</v>
      </c>
    </row>
    <row r="8" spans="1:132" x14ac:dyDescent="0.25">
      <c r="A8" t="s">
        <v>228</v>
      </c>
      <c r="B8" s="2" t="s">
        <v>226</v>
      </c>
      <c r="C8" s="2" t="s">
        <v>229</v>
      </c>
    </row>
    <row r="10" spans="1:132" x14ac:dyDescent="0.25">
      <c r="A10" t="s">
        <v>74</v>
      </c>
      <c r="D10">
        <v>1</v>
      </c>
      <c r="E10">
        <v>2</v>
      </c>
      <c r="F10">
        <v>3</v>
      </c>
      <c r="G10">
        <v>4</v>
      </c>
      <c r="H10">
        <v>5</v>
      </c>
      <c r="I10">
        <v>6</v>
      </c>
      <c r="J10">
        <v>7</v>
      </c>
      <c r="K10">
        <v>8</v>
      </c>
      <c r="L10">
        <v>9</v>
      </c>
      <c r="M10">
        <v>10</v>
      </c>
      <c r="N10">
        <v>11</v>
      </c>
      <c r="O10">
        <v>12</v>
      </c>
      <c r="P10">
        <v>13</v>
      </c>
      <c r="Q10">
        <v>14</v>
      </c>
      <c r="R10">
        <v>15</v>
      </c>
      <c r="S10">
        <v>16</v>
      </c>
      <c r="T10">
        <v>17</v>
      </c>
      <c r="U10">
        <v>18</v>
      </c>
      <c r="V10">
        <v>19</v>
      </c>
      <c r="W10">
        <v>20</v>
      </c>
      <c r="X10">
        <v>21</v>
      </c>
      <c r="Y10">
        <v>22</v>
      </c>
      <c r="Z10">
        <v>23</v>
      </c>
      <c r="AA10">
        <v>24</v>
      </c>
      <c r="AB10">
        <v>25</v>
      </c>
      <c r="AC10">
        <v>1</v>
      </c>
      <c r="AD10">
        <v>2</v>
      </c>
      <c r="AE10">
        <v>3</v>
      </c>
      <c r="AF10">
        <v>4</v>
      </c>
      <c r="AG10">
        <v>5</v>
      </c>
      <c r="AH10">
        <v>6</v>
      </c>
      <c r="AI10">
        <v>7</v>
      </c>
      <c r="AJ10">
        <v>8</v>
      </c>
      <c r="AK10">
        <v>9</v>
      </c>
      <c r="AL10">
        <v>10</v>
      </c>
      <c r="AM10">
        <v>11</v>
      </c>
      <c r="AN10">
        <v>12</v>
      </c>
      <c r="AO10">
        <v>13</v>
      </c>
      <c r="AP10">
        <v>14</v>
      </c>
      <c r="AQ10">
        <v>15</v>
      </c>
      <c r="AR10">
        <v>16</v>
      </c>
      <c r="AS10">
        <v>17</v>
      </c>
      <c r="AT10">
        <v>18</v>
      </c>
      <c r="AU10">
        <v>19</v>
      </c>
      <c r="AV10">
        <v>20</v>
      </c>
      <c r="AW10">
        <v>21</v>
      </c>
      <c r="AX10">
        <v>22</v>
      </c>
      <c r="AY10">
        <v>23</v>
      </c>
      <c r="AZ10">
        <v>24</v>
      </c>
      <c r="BA10">
        <v>25</v>
      </c>
      <c r="BB10">
        <v>26</v>
      </c>
      <c r="BC10">
        <v>27</v>
      </c>
      <c r="BD10">
        <v>28</v>
      </c>
      <c r="BE10">
        <v>29</v>
      </c>
      <c r="BF10">
        <v>30</v>
      </c>
      <c r="BG10">
        <v>31</v>
      </c>
      <c r="BH10">
        <v>32</v>
      </c>
      <c r="BI10">
        <v>33</v>
      </c>
      <c r="BJ10">
        <v>34</v>
      </c>
      <c r="BK10">
        <v>35</v>
      </c>
      <c r="BL10">
        <v>36</v>
      </c>
      <c r="BM10">
        <v>37</v>
      </c>
      <c r="BN10">
        <v>38</v>
      </c>
      <c r="BO10">
        <v>39</v>
      </c>
      <c r="BP10">
        <v>40</v>
      </c>
      <c r="BQ10">
        <v>41</v>
      </c>
      <c r="BR10">
        <v>42</v>
      </c>
      <c r="BS10">
        <v>43</v>
      </c>
      <c r="BT10">
        <v>44</v>
      </c>
      <c r="BU10">
        <v>45</v>
      </c>
      <c r="BV10">
        <v>46</v>
      </c>
      <c r="BW10">
        <v>47</v>
      </c>
      <c r="BX10">
        <v>48</v>
      </c>
      <c r="BY10">
        <v>49</v>
      </c>
      <c r="BZ10">
        <v>50</v>
      </c>
      <c r="CA10">
        <v>51</v>
      </c>
      <c r="CB10">
        <v>52</v>
      </c>
      <c r="CC10">
        <v>53</v>
      </c>
      <c r="CD10">
        <v>54</v>
      </c>
      <c r="CE10">
        <v>55</v>
      </c>
      <c r="CF10">
        <v>56</v>
      </c>
      <c r="CG10">
        <v>57</v>
      </c>
      <c r="CH10">
        <v>58</v>
      </c>
      <c r="CI10">
        <v>59</v>
      </c>
      <c r="CJ10">
        <v>60</v>
      </c>
      <c r="CK10">
        <v>61</v>
      </c>
      <c r="CL10">
        <v>62</v>
      </c>
      <c r="CM10">
        <v>63</v>
      </c>
      <c r="CN10">
        <v>64</v>
      </c>
      <c r="CO10">
        <v>65</v>
      </c>
      <c r="CP10">
        <v>66</v>
      </c>
      <c r="CQ10">
        <v>67</v>
      </c>
      <c r="CR10">
        <v>68</v>
      </c>
      <c r="CS10">
        <v>69</v>
      </c>
      <c r="CT10">
        <v>70</v>
      </c>
      <c r="CU10">
        <v>71</v>
      </c>
      <c r="CV10">
        <v>72</v>
      </c>
      <c r="CW10">
        <v>73</v>
      </c>
      <c r="CX10">
        <v>74</v>
      </c>
      <c r="CY10">
        <v>75</v>
      </c>
      <c r="CZ10">
        <v>76</v>
      </c>
      <c r="DA10">
        <v>77</v>
      </c>
      <c r="DB10">
        <v>78</v>
      </c>
      <c r="DC10">
        <v>79</v>
      </c>
      <c r="DD10">
        <v>80</v>
      </c>
      <c r="DE10">
        <v>81</v>
      </c>
      <c r="DF10">
        <v>82</v>
      </c>
      <c r="DG10">
        <v>83</v>
      </c>
      <c r="DH10">
        <v>84</v>
      </c>
      <c r="DI10">
        <v>85</v>
      </c>
      <c r="DJ10">
        <v>86</v>
      </c>
      <c r="DK10">
        <v>87</v>
      </c>
      <c r="DL10">
        <v>88</v>
      </c>
      <c r="DM10">
        <v>89</v>
      </c>
      <c r="DN10">
        <v>90</v>
      </c>
      <c r="DO10">
        <v>91</v>
      </c>
      <c r="DP10">
        <v>92</v>
      </c>
      <c r="DQ10">
        <v>93</v>
      </c>
      <c r="DR10">
        <v>94</v>
      </c>
      <c r="DS10">
        <v>95</v>
      </c>
      <c r="DT10">
        <v>96</v>
      </c>
      <c r="DU10">
        <v>97</v>
      </c>
      <c r="DV10">
        <v>98</v>
      </c>
      <c r="DW10">
        <v>99</v>
      </c>
      <c r="DX10">
        <v>100</v>
      </c>
      <c r="DY10">
        <v>101</v>
      </c>
      <c r="DZ10">
        <v>102</v>
      </c>
      <c r="EA10">
        <v>103</v>
      </c>
      <c r="EB10">
        <v>104</v>
      </c>
    </row>
    <row r="11" spans="1:132" x14ac:dyDescent="0.25">
      <c r="A11" t="s">
        <v>75</v>
      </c>
      <c r="D11" t="s">
        <v>84</v>
      </c>
      <c r="E11" t="s">
        <v>87</v>
      </c>
      <c r="F11" t="s">
        <v>88</v>
      </c>
      <c r="G11" t="s">
        <v>90</v>
      </c>
      <c r="H11" t="s">
        <v>92</v>
      </c>
      <c r="I11" t="s">
        <v>93</v>
      </c>
      <c r="J11" t="s">
        <v>94</v>
      </c>
      <c r="K11" t="s">
        <v>96</v>
      </c>
      <c r="L11" t="s">
        <v>97</v>
      </c>
      <c r="M11" t="s">
        <v>98</v>
      </c>
      <c r="N11" t="s">
        <v>101</v>
      </c>
      <c r="O11" t="s">
        <v>102</v>
      </c>
      <c r="P11" t="s">
        <v>103</v>
      </c>
      <c r="Q11" t="s">
        <v>104</v>
      </c>
      <c r="R11" t="s">
        <v>105</v>
      </c>
      <c r="S11" t="s">
        <v>107</v>
      </c>
      <c r="T11" t="s">
        <v>108</v>
      </c>
      <c r="U11" t="s">
        <v>109</v>
      </c>
      <c r="V11" t="s">
        <v>110</v>
      </c>
      <c r="W11" t="s">
        <v>111</v>
      </c>
      <c r="X11" t="s">
        <v>113</v>
      </c>
      <c r="Y11" t="s">
        <v>114</v>
      </c>
      <c r="Z11" t="s">
        <v>115</v>
      </c>
      <c r="AA11" t="s">
        <v>116</v>
      </c>
      <c r="AB11" t="s">
        <v>117</v>
      </c>
      <c r="AC11" t="s">
        <v>118</v>
      </c>
      <c r="AD11" t="s">
        <v>119</v>
      </c>
      <c r="AE11" t="s">
        <v>120</v>
      </c>
      <c r="AF11" t="s">
        <v>121</v>
      </c>
      <c r="AG11" t="s">
        <v>122</v>
      </c>
      <c r="AH11" t="s">
        <v>123</v>
      </c>
      <c r="AI11" t="s">
        <v>124</v>
      </c>
      <c r="AJ11" t="s">
        <v>125</v>
      </c>
      <c r="AK11" t="s">
        <v>126</v>
      </c>
      <c r="AL11" t="s">
        <v>127</v>
      </c>
      <c r="AM11" t="s">
        <v>128</v>
      </c>
      <c r="AN11" t="s">
        <v>129</v>
      </c>
      <c r="AO11" t="s">
        <v>130</v>
      </c>
      <c r="AP11" t="s">
        <v>131</v>
      </c>
      <c r="AQ11" t="s">
        <v>132</v>
      </c>
      <c r="AR11" t="s">
        <v>133</v>
      </c>
      <c r="AS11" t="s">
        <v>134</v>
      </c>
      <c r="AT11" t="s">
        <v>135</v>
      </c>
      <c r="AU11" t="s">
        <v>136</v>
      </c>
      <c r="AV11" t="s">
        <v>137</v>
      </c>
      <c r="AW11" t="s">
        <v>138</v>
      </c>
      <c r="AX11" t="s">
        <v>139</v>
      </c>
      <c r="AY11" t="s">
        <v>140</v>
      </c>
      <c r="AZ11" t="s">
        <v>141</v>
      </c>
      <c r="BA11" t="s">
        <v>142</v>
      </c>
      <c r="BB11" t="s">
        <v>143</v>
      </c>
      <c r="BC11" t="s">
        <v>144</v>
      </c>
      <c r="BD11" t="s">
        <v>145</v>
      </c>
      <c r="BE11" t="s">
        <v>146</v>
      </c>
      <c r="BF11" t="s">
        <v>147</v>
      </c>
      <c r="BG11" t="s">
        <v>148</v>
      </c>
      <c r="BH11" t="s">
        <v>149</v>
      </c>
      <c r="BI11" t="s">
        <v>150</v>
      </c>
      <c r="BJ11" t="s">
        <v>151</v>
      </c>
      <c r="BK11" t="s">
        <v>152</v>
      </c>
      <c r="BL11" t="s">
        <v>153</v>
      </c>
      <c r="BM11" t="s">
        <v>154</v>
      </c>
      <c r="BN11" t="s">
        <v>155</v>
      </c>
      <c r="BO11" t="s">
        <v>156</v>
      </c>
      <c r="BP11" t="s">
        <v>157</v>
      </c>
      <c r="BQ11" t="s">
        <v>158</v>
      </c>
      <c r="BR11" t="s">
        <v>159</v>
      </c>
      <c r="BS11" t="s">
        <v>160</v>
      </c>
      <c r="BT11" t="s">
        <v>161</v>
      </c>
      <c r="BU11" t="s">
        <v>162</v>
      </c>
      <c r="BV11" t="s">
        <v>163</v>
      </c>
      <c r="BW11" t="s">
        <v>164</v>
      </c>
      <c r="BX11" t="s">
        <v>165</v>
      </c>
      <c r="BY11" t="s">
        <v>166</v>
      </c>
      <c r="BZ11" t="s">
        <v>167</v>
      </c>
      <c r="CA11" t="s">
        <v>168</v>
      </c>
      <c r="CB11" t="s">
        <v>169</v>
      </c>
      <c r="CC11" t="s">
        <v>170</v>
      </c>
      <c r="CD11" t="s">
        <v>171</v>
      </c>
      <c r="CE11" t="s">
        <v>172</v>
      </c>
      <c r="CF11" t="s">
        <v>173</v>
      </c>
      <c r="CG11" t="s">
        <v>174</v>
      </c>
      <c r="CH11" t="s">
        <v>175</v>
      </c>
      <c r="CI11" t="s">
        <v>176</v>
      </c>
      <c r="CJ11" t="s">
        <v>177</v>
      </c>
      <c r="CK11" t="s">
        <v>178</v>
      </c>
      <c r="CL11" t="s">
        <v>179</v>
      </c>
      <c r="CM11" t="s">
        <v>180</v>
      </c>
      <c r="CN11" t="s">
        <v>181</v>
      </c>
      <c r="CO11" t="s">
        <v>182</v>
      </c>
      <c r="CP11" t="s">
        <v>183</v>
      </c>
      <c r="CQ11" t="s">
        <v>184</v>
      </c>
      <c r="CR11" t="s">
        <v>185</v>
      </c>
      <c r="CS11" t="s">
        <v>186</v>
      </c>
      <c r="CT11" t="s">
        <v>187</v>
      </c>
      <c r="CU11" t="s">
        <v>188</v>
      </c>
      <c r="CV11" t="s">
        <v>189</v>
      </c>
      <c r="CW11" t="s">
        <v>190</v>
      </c>
      <c r="CX11" t="s">
        <v>191</v>
      </c>
      <c r="CY11" t="s">
        <v>192</v>
      </c>
      <c r="CZ11" t="s">
        <v>193</v>
      </c>
      <c r="DA11" t="s">
        <v>194</v>
      </c>
      <c r="DB11" t="s">
        <v>195</v>
      </c>
      <c r="DC11" t="s">
        <v>196</v>
      </c>
      <c r="DD11" t="s">
        <v>197</v>
      </c>
      <c r="DE11" t="s">
        <v>198</v>
      </c>
      <c r="DF11" t="s">
        <v>199</v>
      </c>
      <c r="DG11" t="s">
        <v>200</v>
      </c>
      <c r="DH11" t="s">
        <v>201</v>
      </c>
      <c r="DI11" t="s">
        <v>202</v>
      </c>
      <c r="DJ11" t="s">
        <v>203</v>
      </c>
      <c r="DK11" t="s">
        <v>204</v>
      </c>
      <c r="DL11" t="s">
        <v>205</v>
      </c>
      <c r="DM11" t="s">
        <v>206</v>
      </c>
      <c r="DN11" t="s">
        <v>207</v>
      </c>
      <c r="DO11" t="s">
        <v>208</v>
      </c>
      <c r="DP11" t="s">
        <v>209</v>
      </c>
      <c r="DQ11" t="s">
        <v>210</v>
      </c>
      <c r="DR11" t="s">
        <v>211</v>
      </c>
      <c r="DS11" t="s">
        <v>212</v>
      </c>
      <c r="DT11" t="s">
        <v>213</v>
      </c>
      <c r="DU11" t="s">
        <v>214</v>
      </c>
      <c r="DV11" t="s">
        <v>215</v>
      </c>
      <c r="DW11" t="s">
        <v>216</v>
      </c>
      <c r="DX11" t="s">
        <v>217</v>
      </c>
      <c r="DY11" t="s">
        <v>218</v>
      </c>
      <c r="DZ11" t="s">
        <v>219</v>
      </c>
      <c r="EA11" t="s">
        <v>220</v>
      </c>
      <c r="EB11" t="s">
        <v>221</v>
      </c>
    </row>
    <row r="12" spans="1:132" x14ac:dyDescent="0.25">
      <c r="A12" t="s">
        <v>76</v>
      </c>
      <c r="D12" t="s">
        <v>79</v>
      </c>
      <c r="E12" t="s">
        <v>80</v>
      </c>
      <c r="F12" t="s">
        <v>89</v>
      </c>
      <c r="G12" t="s">
        <v>79</v>
      </c>
      <c r="H12" t="s">
        <v>80</v>
      </c>
      <c r="I12" t="s">
        <v>89</v>
      </c>
      <c r="J12" t="s">
        <v>79</v>
      </c>
      <c r="K12" t="s">
        <v>80</v>
      </c>
      <c r="L12" t="s">
        <v>89</v>
      </c>
      <c r="M12" t="s">
        <v>79</v>
      </c>
      <c r="N12" t="s">
        <v>80</v>
      </c>
      <c r="O12" t="s">
        <v>89</v>
      </c>
      <c r="R12" t="s">
        <v>79</v>
      </c>
      <c r="S12" t="s">
        <v>80</v>
      </c>
      <c r="T12" t="s">
        <v>89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</row>
    <row r="13" spans="1:132" x14ac:dyDescent="0.25">
      <c r="A13" t="s">
        <v>77</v>
      </c>
      <c r="D13" t="s">
        <v>85</v>
      </c>
      <c r="E13" t="s">
        <v>85</v>
      </c>
      <c r="F13" t="s">
        <v>85</v>
      </c>
      <c r="G13" t="s">
        <v>91</v>
      </c>
      <c r="H13" t="s">
        <v>91</v>
      </c>
      <c r="I13" t="s">
        <v>91</v>
      </c>
      <c r="J13" t="s">
        <v>95</v>
      </c>
      <c r="K13" t="s">
        <v>95</v>
      </c>
      <c r="L13" t="s">
        <v>95</v>
      </c>
      <c r="M13" t="s">
        <v>99</v>
      </c>
      <c r="N13" t="s">
        <v>99</v>
      </c>
      <c r="O13" t="s">
        <v>99</v>
      </c>
      <c r="R13" t="s">
        <v>106</v>
      </c>
      <c r="S13" t="s">
        <v>106</v>
      </c>
      <c r="T13" t="s">
        <v>106</v>
      </c>
    </row>
    <row r="14" spans="1:132" x14ac:dyDescent="0.25">
      <c r="A14" t="s">
        <v>78</v>
      </c>
      <c r="D14" t="s">
        <v>86</v>
      </c>
      <c r="E14" t="s">
        <v>86</v>
      </c>
      <c r="F14" t="s">
        <v>86</v>
      </c>
      <c r="G14" t="s">
        <v>86</v>
      </c>
      <c r="H14" t="s">
        <v>86</v>
      </c>
      <c r="I14" t="s">
        <v>86</v>
      </c>
      <c r="J14" t="s">
        <v>86</v>
      </c>
      <c r="K14" t="s">
        <v>86</v>
      </c>
      <c r="L14" t="s">
        <v>86</v>
      </c>
      <c r="M14" t="s">
        <v>100</v>
      </c>
      <c r="N14" t="s">
        <v>100</v>
      </c>
      <c r="O14" t="s">
        <v>100</v>
      </c>
      <c r="P14" t="s">
        <v>100</v>
      </c>
      <c r="Q14" t="s">
        <v>100</v>
      </c>
      <c r="R14" t="s">
        <v>100</v>
      </c>
      <c r="S14" t="s">
        <v>100</v>
      </c>
      <c r="T14" t="s">
        <v>100</v>
      </c>
      <c r="U14" t="s">
        <v>100</v>
      </c>
      <c r="V14" t="s">
        <v>100</v>
      </c>
      <c r="W14" t="s">
        <v>112</v>
      </c>
      <c r="X14" t="s">
        <v>112</v>
      </c>
      <c r="Y14" t="s">
        <v>112</v>
      </c>
      <c r="Z14" t="s">
        <v>112</v>
      </c>
      <c r="AA14" t="s">
        <v>112</v>
      </c>
      <c r="AB14" t="s">
        <v>112</v>
      </c>
    </row>
    <row r="15" spans="1:132" x14ac:dyDescent="0.25">
      <c r="A15" t="s">
        <v>79</v>
      </c>
      <c r="D15">
        <v>3.4655860889092098E-4</v>
      </c>
      <c r="E15">
        <v>3.5781467680159201E-4</v>
      </c>
      <c r="F15">
        <v>2.50165103286666E-4</v>
      </c>
      <c r="G15" s="7">
        <v>9.2590111078774697E-5</v>
      </c>
      <c r="H15" s="7">
        <v>9.1594076432256104E-5</v>
      </c>
      <c r="I15" s="7">
        <v>8.2819842429514596E-5</v>
      </c>
      <c r="J15" s="7">
        <v>2.8017398836755699E-6</v>
      </c>
      <c r="K15" s="7">
        <v>2.3183761061705298E-6</v>
      </c>
      <c r="L15" s="7">
        <v>2.1544260993218001E-6</v>
      </c>
      <c r="M15">
        <v>2.6752785148293802E-3</v>
      </c>
      <c r="N15">
        <v>2.7123878127283101E-3</v>
      </c>
      <c r="O15">
        <v>2.69884832971307E-3</v>
      </c>
      <c r="P15">
        <v>8.3363050335109499E-4</v>
      </c>
      <c r="Q15">
        <v>4.6726383068138198E-3</v>
      </c>
      <c r="R15">
        <v>2.6481359775556699E-3</v>
      </c>
      <c r="S15">
        <v>2.6657639635930498E-3</v>
      </c>
      <c r="T15">
        <v>2.6631468279164402E-3</v>
      </c>
      <c r="U15">
        <v>8.77497417709558E-4</v>
      </c>
      <c r="V15">
        <v>4.6349238275790903E-3</v>
      </c>
      <c r="W15">
        <v>1</v>
      </c>
      <c r="X15">
        <v>1</v>
      </c>
      <c r="Y15">
        <v>1.5694136489778599E-3</v>
      </c>
      <c r="Z15">
        <v>1.5694136489778599E-3</v>
      </c>
      <c r="AA15">
        <v>1.7998974094895001E-4</v>
      </c>
      <c r="AB15">
        <v>1.8724413657773E-3</v>
      </c>
    </row>
    <row r="16" spans="1:132" x14ac:dyDescent="0.25">
      <c r="A16" t="s">
        <v>80</v>
      </c>
      <c r="D16">
        <v>-2.2322000000000002E-2</v>
      </c>
      <c r="E16">
        <v>7.4799999999999997E-4</v>
      </c>
      <c r="F16">
        <v>-3.82E-3</v>
      </c>
      <c r="G16">
        <v>3.2720000000000002E-3</v>
      </c>
      <c r="H16">
        <v>-1.7260000000000001E-3</v>
      </c>
      <c r="I16">
        <v>-7.1510000000000002E-3</v>
      </c>
      <c r="J16">
        <v>-3.4798000000000003E-2</v>
      </c>
      <c r="K16">
        <v>-1.2163E-2</v>
      </c>
      <c r="L16">
        <v>-2.0565E-2</v>
      </c>
      <c r="M16">
        <v>0.50834400000000002</v>
      </c>
      <c r="N16">
        <v>9.2359999999999994E-3</v>
      </c>
      <c r="O16">
        <v>-0.24664900000000001</v>
      </c>
      <c r="P16">
        <v>0.38159799999999999</v>
      </c>
      <c r="Q16">
        <v>0.52873599999999998</v>
      </c>
      <c r="R16">
        <v>0.16000400000000001</v>
      </c>
      <c r="S16">
        <v>0.175202</v>
      </c>
      <c r="T16">
        <v>0.344781</v>
      </c>
      <c r="U16">
        <v>0.38325300000000001</v>
      </c>
      <c r="V16">
        <v>0.45054100000000002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</row>
    <row r="17" spans="1:28" x14ac:dyDescent="0.25">
      <c r="A17" t="s">
        <v>81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 x14ac:dyDescent="0.25">
      <c r="A18" t="s">
        <v>82</v>
      </c>
      <c r="D18">
        <v>-22377.2539508343</v>
      </c>
      <c r="E18">
        <v>-32760.000525355299</v>
      </c>
      <c r="F18">
        <v>-32729.481020450599</v>
      </c>
      <c r="G18">
        <v>-32759.999579429601</v>
      </c>
      <c r="H18">
        <v>-27381.563281059302</v>
      </c>
      <c r="I18">
        <v>-32399.252658367201</v>
      </c>
      <c r="J18">
        <v>-29654.787185668902</v>
      </c>
      <c r="K18">
        <v>-23587.199615478501</v>
      </c>
      <c r="L18">
        <v>-19093.251800537098</v>
      </c>
      <c r="M18">
        <v>-32702.417903423298</v>
      </c>
      <c r="N18">
        <v>-32759.999725341801</v>
      </c>
      <c r="O18">
        <v>-32668.613878488501</v>
      </c>
      <c r="P18">
        <v>-28699.1477684975</v>
      </c>
      <c r="Q18">
        <v>-32760.000442743301</v>
      </c>
      <c r="R18">
        <v>-32622.891245842002</v>
      </c>
      <c r="S18">
        <v>-32760.0005824566</v>
      </c>
      <c r="T18">
        <v>-32723.009143352501</v>
      </c>
      <c r="U18">
        <v>-28378.490349292799</v>
      </c>
      <c r="V18">
        <v>-32759.9990093708</v>
      </c>
      <c r="W18">
        <v>0</v>
      </c>
      <c r="X18">
        <v>0</v>
      </c>
      <c r="Y18">
        <v>31264.5452216864</v>
      </c>
      <c r="Z18">
        <v>31264.5452216864</v>
      </c>
      <c r="AA18">
        <v>-32760.000480651899</v>
      </c>
      <c r="AB18">
        <v>14750.1494598389</v>
      </c>
    </row>
    <row r="19" spans="1:28" x14ac:dyDescent="0.25">
      <c r="A19" t="s">
        <v>83</v>
      </c>
      <c r="D19">
        <v>32759.999921321902</v>
      </c>
      <c r="E19">
        <v>21675.9051622152</v>
      </c>
      <c r="F19">
        <v>32760.000864744201</v>
      </c>
      <c r="G19">
        <v>31921.810715675401</v>
      </c>
      <c r="H19">
        <v>32760.0006122589</v>
      </c>
      <c r="I19">
        <v>32759.999541282701</v>
      </c>
      <c r="J19">
        <v>32760.000503539999</v>
      </c>
      <c r="K19">
        <v>32759.999465942401</v>
      </c>
      <c r="L19">
        <v>32760.000457763701</v>
      </c>
      <c r="M19">
        <v>32760.000693082799</v>
      </c>
      <c r="N19">
        <v>32292.388864517201</v>
      </c>
      <c r="O19">
        <v>32760.0010073185</v>
      </c>
      <c r="P19">
        <v>32759.999652385701</v>
      </c>
      <c r="Q19">
        <v>32555.912743806799</v>
      </c>
      <c r="R19">
        <v>32760.001274585698</v>
      </c>
      <c r="S19">
        <v>32250.3954491615</v>
      </c>
      <c r="T19">
        <v>32759.999969005599</v>
      </c>
      <c r="U19">
        <v>32760.000679016099</v>
      </c>
      <c r="V19">
        <v>32381.7446808815</v>
      </c>
      <c r="W19">
        <v>0</v>
      </c>
      <c r="X19">
        <v>0</v>
      </c>
      <c r="Y19">
        <v>32760.000547647502</v>
      </c>
      <c r="Z19">
        <v>32760.000547647502</v>
      </c>
      <c r="AA19">
        <v>21823.043798446699</v>
      </c>
      <c r="AB19">
        <v>32760.000457763701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J15" sqref="J1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32"/>
  <sheetViews>
    <sheetView zoomScale="85" zoomScaleNormal="85" workbookViewId="0">
      <selection activeCell="J1" sqref="J1"/>
    </sheetView>
  </sheetViews>
  <sheetFormatPr defaultRowHeight="15" x14ac:dyDescent="0.25"/>
  <cols>
    <col min="1" max="1" width="30.85546875" style="2" customWidth="1"/>
    <col min="2" max="2" width="11.28515625" customWidth="1"/>
    <col min="3" max="3" width="6" customWidth="1"/>
    <col min="10" max="10" width="24.42578125" customWidth="1"/>
    <col min="11" max="11" width="10.42578125" customWidth="1"/>
    <col min="12" max="12" width="23.42578125" style="4" bestFit="1" customWidth="1"/>
    <col min="13" max="13" width="35.42578125" customWidth="1"/>
    <col min="14" max="14" width="29.28515625" customWidth="1"/>
    <col min="15" max="15" width="18.5703125" customWidth="1"/>
    <col min="16" max="16" width="16.7109375" customWidth="1"/>
  </cols>
  <sheetData>
    <row r="1" spans="1:16" x14ac:dyDescent="0.25">
      <c r="A1" s="2" t="s">
        <v>2</v>
      </c>
      <c r="B1" t="s">
        <v>0</v>
      </c>
      <c r="C1" t="s">
        <v>1</v>
      </c>
      <c r="J1" s="3" t="s">
        <v>13</v>
      </c>
      <c r="K1" s="5" t="s">
        <v>14</v>
      </c>
      <c r="L1" s="4" t="s">
        <v>15</v>
      </c>
    </row>
    <row r="2" spans="1:16" x14ac:dyDescent="0.25">
      <c r="A2" t="s">
        <v>48</v>
      </c>
      <c r="B2" t="s">
        <v>18</v>
      </c>
      <c r="C2" t="s">
        <v>3</v>
      </c>
      <c r="J2" t="s">
        <v>26</v>
      </c>
      <c r="K2">
        <f>IFERROR(IF(SEARCH("  ",""&amp;J2)&gt;0,1,0),0)</f>
        <v>1</v>
      </c>
      <c r="L2" s="4" t="str">
        <f>IF(K2,MID(J2,7,4)&amp;"-"&amp;MID(J2,4,2)&amp;"-"&amp;MID(J2,1,2)&amp;" "&amp;MID(J2,13,12),"ОШИБКА")</f>
        <v>2024-01-23 18:59:38.909</v>
      </c>
    </row>
    <row r="3" spans="1:16" x14ac:dyDescent="0.25">
      <c r="A3" t="s">
        <v>48</v>
      </c>
      <c r="B3" t="s">
        <v>18</v>
      </c>
      <c r="C3" t="s">
        <v>4</v>
      </c>
      <c r="J3" t="s">
        <v>26</v>
      </c>
      <c r="K3">
        <f t="shared" ref="K3:K32" si="0">IFERROR(IF(SEARCH("  ",""&amp;J3)&gt;0,1,0),0)</f>
        <v>1</v>
      </c>
      <c r="L3" s="4" t="str">
        <f>IF(K3,MID(J3,7,4)&amp;"-"&amp;MID(J3,4,2)&amp;"-"&amp;MID(J3,1,2)&amp;" "&amp;MID(J3,13,12),LEFT(L$2,10)&amp;" "&amp;FTime(TIME(MID(L$2,12,2),MID(L$2,15,2),MID(L$2,18,2))+RIGHT(L$2,3)/86400000+SUBSTITUTE(J3," ms","")/86400000))</f>
        <v>2024-01-23 18:59:38.909</v>
      </c>
    </row>
    <row r="4" spans="1:16" x14ac:dyDescent="0.25">
      <c r="A4" t="s">
        <v>49</v>
      </c>
      <c r="B4" t="s">
        <v>18</v>
      </c>
      <c r="C4" t="s">
        <v>5</v>
      </c>
      <c r="J4" t="s">
        <v>27</v>
      </c>
      <c r="K4">
        <f t="shared" si="0"/>
        <v>0</v>
      </c>
      <c r="L4" s="4" t="str">
        <f t="shared" ref="L4:L32" si="1">IF(K4,MID(J4,7,4)&amp;"-"&amp;MID(J4,4,2)&amp;"-"&amp;MID(J4,1,2)&amp;" "&amp;MID(J4,13,12),LEFT(L$2,10)&amp;" "&amp;FTime(TIME(MID(L$2,12,2),MID(L$2,15,2),MID(L$2,18,2))+RIGHT(L$2,3)/86400000+SUBSTITUTE(J4," ms","")/86400000))</f>
        <v>2024-01-23 18:59:38.910</v>
      </c>
      <c r="M4" s="1"/>
      <c r="N4" s="1"/>
      <c r="O4" s="6"/>
      <c r="P4" s="6"/>
    </row>
    <row r="5" spans="1:16" x14ac:dyDescent="0.25">
      <c r="A5" t="s">
        <v>49</v>
      </c>
      <c r="B5" t="s">
        <v>18</v>
      </c>
      <c r="C5" t="s">
        <v>6</v>
      </c>
      <c r="J5" t="s">
        <v>27</v>
      </c>
      <c r="K5">
        <f t="shared" si="0"/>
        <v>0</v>
      </c>
      <c r="L5" s="4" t="str">
        <f t="shared" si="1"/>
        <v>2024-01-23 18:59:38.910</v>
      </c>
      <c r="M5" s="1"/>
    </row>
    <row r="6" spans="1:16" x14ac:dyDescent="0.25">
      <c r="A6" t="s">
        <v>50</v>
      </c>
      <c r="B6" t="s">
        <v>18</v>
      </c>
      <c r="C6" t="s">
        <v>7</v>
      </c>
      <c r="J6" t="s">
        <v>17</v>
      </c>
      <c r="K6">
        <f t="shared" si="0"/>
        <v>0</v>
      </c>
      <c r="L6" s="4" t="str">
        <f t="shared" si="1"/>
        <v>2024-01-23 18:59:38.913</v>
      </c>
      <c r="M6" s="1"/>
    </row>
    <row r="7" spans="1:16" x14ac:dyDescent="0.25">
      <c r="A7" t="s">
        <v>51</v>
      </c>
      <c r="B7" t="s">
        <v>12</v>
      </c>
      <c r="C7" t="s">
        <v>19</v>
      </c>
      <c r="J7" t="s">
        <v>28</v>
      </c>
      <c r="K7">
        <f t="shared" si="0"/>
        <v>0</v>
      </c>
      <c r="L7" s="4" t="str">
        <f t="shared" si="1"/>
        <v>2024-01-23 18:59:38.940</v>
      </c>
      <c r="M7" s="1"/>
    </row>
    <row r="8" spans="1:16" x14ac:dyDescent="0.25">
      <c r="A8" t="s">
        <v>51</v>
      </c>
      <c r="B8" t="s">
        <v>18</v>
      </c>
      <c r="C8" t="s">
        <v>8</v>
      </c>
      <c r="J8" t="s">
        <v>28</v>
      </c>
      <c r="K8">
        <f t="shared" si="0"/>
        <v>0</v>
      </c>
      <c r="L8" s="4" t="str">
        <f t="shared" si="1"/>
        <v>2024-01-23 18:59:38.940</v>
      </c>
      <c r="M8" s="1"/>
    </row>
    <row r="9" spans="1:16" x14ac:dyDescent="0.25">
      <c r="A9" t="s">
        <v>52</v>
      </c>
      <c r="B9" t="s">
        <v>12</v>
      </c>
      <c r="C9" t="s">
        <v>7</v>
      </c>
      <c r="J9" t="s">
        <v>29</v>
      </c>
      <c r="K9">
        <f t="shared" si="0"/>
        <v>0</v>
      </c>
      <c r="L9" s="4" t="str">
        <f t="shared" si="1"/>
        <v>2024-01-23 18:59:38.944</v>
      </c>
      <c r="M9" s="1"/>
    </row>
    <row r="10" spans="1:16" x14ac:dyDescent="0.25">
      <c r="A10" t="s">
        <v>53</v>
      </c>
      <c r="B10" t="s">
        <v>18</v>
      </c>
      <c r="C10" t="s">
        <v>20</v>
      </c>
      <c r="J10" t="s">
        <v>30</v>
      </c>
      <c r="K10">
        <f t="shared" si="0"/>
        <v>0</v>
      </c>
      <c r="L10" s="4" t="str">
        <f t="shared" si="1"/>
        <v>2024-01-23 18:59:38.950</v>
      </c>
      <c r="M10" s="1"/>
    </row>
    <row r="11" spans="1:16" x14ac:dyDescent="0.25">
      <c r="A11" t="s">
        <v>16</v>
      </c>
      <c r="B11" t="s">
        <v>12</v>
      </c>
      <c r="C11" t="s">
        <v>21</v>
      </c>
      <c r="J11" t="s">
        <v>31</v>
      </c>
      <c r="K11">
        <f t="shared" si="0"/>
        <v>0</v>
      </c>
      <c r="L11" s="4" t="str">
        <f t="shared" si="1"/>
        <v>2024-01-23 18:59:38.952</v>
      </c>
      <c r="M11" s="1"/>
    </row>
    <row r="12" spans="1:16" x14ac:dyDescent="0.25">
      <c r="A12" t="s">
        <v>54</v>
      </c>
      <c r="B12" t="s">
        <v>12</v>
      </c>
      <c r="C12" t="s">
        <v>22</v>
      </c>
      <c r="J12" t="s">
        <v>32</v>
      </c>
      <c r="K12">
        <f t="shared" si="0"/>
        <v>0</v>
      </c>
      <c r="L12" s="4" t="str">
        <f t="shared" si="1"/>
        <v>2024-01-23 18:59:38.959</v>
      </c>
      <c r="M12" s="1"/>
    </row>
    <row r="13" spans="1:16" x14ac:dyDescent="0.25">
      <c r="A13" t="s">
        <v>54</v>
      </c>
      <c r="B13" t="s">
        <v>12</v>
      </c>
      <c r="C13" t="s">
        <v>23</v>
      </c>
      <c r="J13" t="s">
        <v>32</v>
      </c>
      <c r="K13">
        <f t="shared" si="0"/>
        <v>0</v>
      </c>
      <c r="L13" s="4" t="str">
        <f t="shared" si="1"/>
        <v>2024-01-23 18:59:38.959</v>
      </c>
      <c r="M13" s="1"/>
    </row>
    <row r="14" spans="1:16" x14ac:dyDescent="0.25">
      <c r="A14" t="s">
        <v>55</v>
      </c>
      <c r="B14" t="s">
        <v>18</v>
      </c>
      <c r="C14" t="s">
        <v>9</v>
      </c>
      <c r="J14" t="s">
        <v>33</v>
      </c>
      <c r="K14">
        <f t="shared" si="0"/>
        <v>0</v>
      </c>
      <c r="L14" s="4" t="str">
        <f t="shared" si="1"/>
        <v>2024-01-23 18:59:40.451</v>
      </c>
      <c r="M14" s="1"/>
    </row>
    <row r="15" spans="1:16" x14ac:dyDescent="0.25">
      <c r="A15" t="s">
        <v>56</v>
      </c>
      <c r="B15" t="s">
        <v>12</v>
      </c>
      <c r="C15" t="s">
        <v>20</v>
      </c>
      <c r="J15" t="s">
        <v>34</v>
      </c>
      <c r="K15">
        <f t="shared" si="0"/>
        <v>0</v>
      </c>
      <c r="L15" s="4" t="str">
        <f t="shared" si="1"/>
        <v>2024-01-23 18:59:40.525</v>
      </c>
      <c r="M15" s="1"/>
    </row>
    <row r="16" spans="1:16" x14ac:dyDescent="0.25">
      <c r="A16" t="s">
        <v>57</v>
      </c>
      <c r="B16" t="s">
        <v>18</v>
      </c>
      <c r="C16" t="s">
        <v>19</v>
      </c>
      <c r="J16" t="s">
        <v>35</v>
      </c>
      <c r="K16">
        <f t="shared" si="0"/>
        <v>0</v>
      </c>
      <c r="L16" s="4" t="str">
        <f t="shared" si="1"/>
        <v>2024-01-23 18:59:40.539</v>
      </c>
      <c r="M16" s="1"/>
    </row>
    <row r="17" spans="1:13" x14ac:dyDescent="0.25">
      <c r="A17" t="s">
        <v>58</v>
      </c>
      <c r="B17" t="s">
        <v>18</v>
      </c>
      <c r="C17" t="s">
        <v>24</v>
      </c>
      <c r="J17" t="s">
        <v>36</v>
      </c>
      <c r="K17">
        <f t="shared" si="0"/>
        <v>0</v>
      </c>
      <c r="L17" s="4" t="str">
        <f t="shared" si="1"/>
        <v>2024-01-23 18:59:40.552</v>
      </c>
      <c r="M17" s="1"/>
    </row>
    <row r="18" spans="1:13" x14ac:dyDescent="0.25">
      <c r="A18" t="s">
        <v>59</v>
      </c>
      <c r="B18" t="s">
        <v>12</v>
      </c>
      <c r="C18" t="s">
        <v>24</v>
      </c>
      <c r="J18" t="s">
        <v>37</v>
      </c>
      <c r="K18">
        <f t="shared" si="0"/>
        <v>0</v>
      </c>
      <c r="L18" s="4" t="str">
        <f t="shared" si="1"/>
        <v>2024-01-23 18:59:40.602</v>
      </c>
      <c r="M18" s="1"/>
    </row>
    <row r="19" spans="1:13" x14ac:dyDescent="0.25">
      <c r="A19" s="2" t="s">
        <v>60</v>
      </c>
      <c r="B19" t="s">
        <v>18</v>
      </c>
      <c r="C19" t="s">
        <v>21</v>
      </c>
      <c r="J19" t="s">
        <v>38</v>
      </c>
      <c r="K19">
        <f t="shared" si="0"/>
        <v>0</v>
      </c>
      <c r="L19" s="4" t="str">
        <f t="shared" si="1"/>
        <v>2024-01-23 18:59:40.881</v>
      </c>
    </row>
    <row r="20" spans="1:13" x14ac:dyDescent="0.25">
      <c r="A20" s="2" t="s">
        <v>61</v>
      </c>
      <c r="B20" t="s">
        <v>18</v>
      </c>
      <c r="C20" t="s">
        <v>10</v>
      </c>
      <c r="J20" t="s">
        <v>39</v>
      </c>
      <c r="K20">
        <f t="shared" si="0"/>
        <v>0</v>
      </c>
      <c r="L20" s="4" t="str">
        <f t="shared" si="1"/>
        <v>2024-01-23 18:59:40.889</v>
      </c>
    </row>
    <row r="21" spans="1:13" x14ac:dyDescent="0.25">
      <c r="A21" s="2" t="s">
        <v>61</v>
      </c>
      <c r="B21" t="s">
        <v>18</v>
      </c>
      <c r="C21" t="s">
        <v>22</v>
      </c>
      <c r="J21" t="s">
        <v>39</v>
      </c>
      <c r="K21">
        <f t="shared" si="0"/>
        <v>0</v>
      </c>
      <c r="L21" s="4" t="str">
        <f t="shared" si="1"/>
        <v>2024-01-23 18:59:40.889</v>
      </c>
    </row>
    <row r="22" spans="1:13" x14ac:dyDescent="0.25">
      <c r="A22" s="2" t="s">
        <v>61</v>
      </c>
      <c r="B22" t="s">
        <v>18</v>
      </c>
      <c r="C22" t="s">
        <v>23</v>
      </c>
      <c r="J22" t="s">
        <v>39</v>
      </c>
      <c r="K22">
        <f t="shared" si="0"/>
        <v>0</v>
      </c>
      <c r="L22" s="4" t="str">
        <f t="shared" si="1"/>
        <v>2024-01-23 18:59:40.889</v>
      </c>
    </row>
    <row r="23" spans="1:13" x14ac:dyDescent="0.25">
      <c r="A23" s="2" t="s">
        <v>61</v>
      </c>
      <c r="B23" t="s">
        <v>18</v>
      </c>
      <c r="C23" t="s">
        <v>4</v>
      </c>
      <c r="J23" t="s">
        <v>40</v>
      </c>
      <c r="K23">
        <f t="shared" si="0"/>
        <v>1</v>
      </c>
      <c r="L23" s="4" t="str">
        <f t="shared" si="1"/>
        <v>2024-01-23 18:59:40.889</v>
      </c>
    </row>
    <row r="24" spans="1:13" x14ac:dyDescent="0.25">
      <c r="A24" s="2" t="s">
        <v>62</v>
      </c>
      <c r="B24" t="s">
        <v>18</v>
      </c>
      <c r="C24" t="s">
        <v>11</v>
      </c>
      <c r="J24" t="s">
        <v>39</v>
      </c>
      <c r="K24">
        <f t="shared" si="0"/>
        <v>0</v>
      </c>
      <c r="L24" s="4" t="str">
        <f t="shared" si="1"/>
        <v>2024-01-23 18:59:40.889</v>
      </c>
    </row>
    <row r="25" spans="1:13" x14ac:dyDescent="0.25">
      <c r="A25" s="2" t="s">
        <v>63</v>
      </c>
      <c r="B25" t="s">
        <v>18</v>
      </c>
      <c r="C25" t="s">
        <v>7</v>
      </c>
      <c r="J25" t="s">
        <v>41</v>
      </c>
      <c r="K25">
        <f t="shared" si="0"/>
        <v>0</v>
      </c>
      <c r="L25" s="4" t="str">
        <f t="shared" si="1"/>
        <v>2024-01-23 18:59:40.891</v>
      </c>
    </row>
    <row r="26" spans="1:13" x14ac:dyDescent="0.25">
      <c r="A26" s="2" t="s">
        <v>64</v>
      </c>
      <c r="B26" t="s">
        <v>12</v>
      </c>
      <c r="C26" t="s">
        <v>19</v>
      </c>
      <c r="J26" t="s">
        <v>42</v>
      </c>
      <c r="K26">
        <f t="shared" si="0"/>
        <v>0</v>
      </c>
      <c r="L26" s="4" t="str">
        <f t="shared" si="1"/>
        <v>2024-01-23 18:59:40.915</v>
      </c>
    </row>
    <row r="27" spans="1:13" x14ac:dyDescent="0.25">
      <c r="A27" s="2" t="s">
        <v>65</v>
      </c>
      <c r="B27" t="s">
        <v>12</v>
      </c>
      <c r="C27" t="s">
        <v>7</v>
      </c>
      <c r="J27" t="s">
        <v>43</v>
      </c>
      <c r="K27">
        <f t="shared" si="0"/>
        <v>0</v>
      </c>
      <c r="L27" s="4" t="str">
        <f t="shared" si="1"/>
        <v>2024-01-23 18:59:40.917</v>
      </c>
    </row>
    <row r="28" spans="1:13" x14ac:dyDescent="0.25">
      <c r="A28" s="2" t="s">
        <v>66</v>
      </c>
      <c r="B28" t="s">
        <v>18</v>
      </c>
      <c r="C28" t="s">
        <v>20</v>
      </c>
      <c r="J28" t="s">
        <v>44</v>
      </c>
      <c r="K28">
        <f t="shared" si="0"/>
        <v>0</v>
      </c>
      <c r="L28" s="4" t="str">
        <f t="shared" si="1"/>
        <v>2024-01-23 18:59:40.924</v>
      </c>
    </row>
    <row r="29" spans="1:13" x14ac:dyDescent="0.25">
      <c r="A29" s="2" t="s">
        <v>67</v>
      </c>
      <c r="B29" t="s">
        <v>12</v>
      </c>
      <c r="C29" t="s">
        <v>21</v>
      </c>
      <c r="J29" t="s">
        <v>45</v>
      </c>
      <c r="K29">
        <f t="shared" si="0"/>
        <v>0</v>
      </c>
      <c r="L29" s="4" t="str">
        <f t="shared" si="1"/>
        <v>2024-01-23 18:59:40.938</v>
      </c>
    </row>
    <row r="30" spans="1:13" x14ac:dyDescent="0.25">
      <c r="A30" s="2" t="s">
        <v>68</v>
      </c>
      <c r="B30" t="s">
        <v>12</v>
      </c>
      <c r="C30" t="s">
        <v>22</v>
      </c>
      <c r="J30" t="s">
        <v>46</v>
      </c>
      <c r="K30">
        <f t="shared" si="0"/>
        <v>0</v>
      </c>
      <c r="L30" s="4" t="str">
        <f t="shared" si="1"/>
        <v>2024-01-23 18:59:40.939</v>
      </c>
    </row>
    <row r="31" spans="1:13" x14ac:dyDescent="0.25">
      <c r="A31" s="2" t="s">
        <v>68</v>
      </c>
      <c r="B31" t="s">
        <v>12</v>
      </c>
      <c r="C31" t="s">
        <v>23</v>
      </c>
      <c r="J31" t="s">
        <v>46</v>
      </c>
      <c r="K31">
        <f t="shared" si="0"/>
        <v>0</v>
      </c>
      <c r="L31" s="4" t="str">
        <f t="shared" si="1"/>
        <v>2024-01-23 18:59:40.939</v>
      </c>
    </row>
    <row r="32" spans="1:13" x14ac:dyDescent="0.25">
      <c r="A32" s="2" t="s">
        <v>68</v>
      </c>
      <c r="B32" t="s">
        <v>12</v>
      </c>
      <c r="C32" t="s">
        <v>25</v>
      </c>
      <c r="J32" t="s">
        <v>47</v>
      </c>
      <c r="K32">
        <f t="shared" si="0"/>
        <v>1</v>
      </c>
      <c r="L32" s="4" t="str">
        <f t="shared" si="1"/>
        <v>2024-01-23 18:59:40.940</v>
      </c>
    </row>
  </sheetData>
  <autoFilter ref="A1:D1">
    <sortState ref="A2:D32">
      <sortCondition ref="A1"/>
    </sortState>
  </autoFilter>
  <sortState ref="A2:C201">
    <sortCondition ref="A2:A201"/>
  </sortState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Осц.cfg</vt:lpstr>
      <vt:lpstr>Comtrade 2 Excel</vt:lpstr>
      <vt:lpstr>Signals to Comtrade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Матвеев Игорь Владимирович</dc:creator>
  <cp:lastModifiedBy>Матвеев Игорь Владимирович</cp:lastModifiedBy>
  <dcterms:created xsi:type="dcterms:W3CDTF">2014-04-06T23:21:13Z</dcterms:created>
  <dcterms:modified xsi:type="dcterms:W3CDTF">2024-02-02T05:03:07Z</dcterms:modified>
</cp:coreProperties>
</file>